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ools" sheetId="2" state="visible" r:id="rId2"/>
    <sheet name="Products" sheetId="3" state="visible" r:id="rId3"/>
    <sheet name="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82127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6" customWidth="1" min="1" max="1"/>
  </cols>
  <sheetData>
    <row r="1">
      <c r="A1" s="1" t="inlineStr">
        <is>
          <t>AC101 — Session 3: Cost Allocation &amp; ABC (Excel companion)</t>
        </is>
      </c>
    </row>
    <row r="2">
      <c r="A2" t="inlineStr"/>
    </row>
    <row r="3">
      <c r="A3" t="inlineStr">
        <is>
          <t>Same data and answers as the notebook, with live formulas.</t>
        </is>
      </c>
    </row>
    <row r="4">
      <c r="A4" t="inlineStr"/>
    </row>
    <row r="5">
      <c r="A5" t="inlineStr">
        <is>
          <t>'Pools'    : the five overhead cost pools and their drivers.</t>
        </is>
      </c>
    </row>
    <row r="6">
      <c r="A6" t="inlineStr">
        <is>
          <t>'Products' : each model's volume, drivers, price and materials.</t>
        </is>
      </c>
    </row>
    <row r="7">
      <c r="A7" t="inlineStr">
        <is>
          <t>'Calc'     : traditional (one blended rate) vs ABC (a rate per pool).</t>
        </is>
      </c>
    </row>
    <row r="8">
      <c r="A8" t="inlineStr"/>
    </row>
    <row r="9">
      <c r="A9" t="inlineStr">
        <is>
          <t>Blue cells are FORMULAS. Try changing Cybertruck's assembly hours on 'Products'</t>
        </is>
      </c>
    </row>
    <row r="10">
      <c r="A10" t="inlineStr">
        <is>
          <t>and watch its ABC overhead — and margin — move on 'Calc'.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Cost pool</t>
        </is>
      </c>
      <c r="B1" s="2" t="inlineStr">
        <is>
          <t>Annual cost ($m)</t>
        </is>
      </c>
      <c r="C1" s="2" t="inlineStr">
        <is>
          <t>Driver</t>
        </is>
      </c>
    </row>
    <row r="2">
      <c r="A2" t="inlineStr">
        <is>
          <t>assembly</t>
        </is>
      </c>
      <c r="B2" t="n">
        <v>2400</v>
      </c>
      <c r="C2" t="inlineStr">
        <is>
          <t>assembly_hours</t>
        </is>
      </c>
    </row>
    <row r="3">
      <c r="A3" t="inlineStr">
        <is>
          <t>battery_systems</t>
        </is>
      </c>
      <c r="B3" t="n">
        <v>3200</v>
      </c>
      <c r="C3" t="inlineStr">
        <is>
          <t>kwh_capacity</t>
        </is>
      </c>
    </row>
    <row r="4">
      <c r="A4" t="inlineStr">
        <is>
          <t>quality_testing</t>
        </is>
      </c>
      <c r="B4" t="n">
        <v>800</v>
      </c>
      <c r="C4" t="inlineStr">
        <is>
          <t>test_cycles</t>
        </is>
      </c>
    </row>
    <row r="5">
      <c r="A5" t="inlineStr">
        <is>
          <t>logistics</t>
        </is>
      </c>
      <c r="B5" t="n">
        <v>1200</v>
      </c>
      <c r="C5" t="inlineStr">
        <is>
          <t>shipments</t>
        </is>
      </c>
    </row>
    <row r="6">
      <c r="A6" t="inlineStr">
        <is>
          <t>facilities</t>
        </is>
      </c>
      <c r="B6" t="n">
        <v>1600</v>
      </c>
      <c r="C6" t="inlineStr">
        <is>
          <t>square_feet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7" customWidth="1" min="4" max="4"/>
    <col width="7" customWidth="1" min="5" max="5"/>
    <col width="9" customWidth="1" min="6" max="6"/>
    <col width="10" customWidth="1" min="7" max="7"/>
  </cols>
  <sheetData>
    <row r="1">
      <c r="A1" s="2" t="inlineStr">
        <is>
          <t>Model</t>
        </is>
      </c>
      <c r="B1" s="2" t="inlineStr">
        <is>
          <t>Volume</t>
        </is>
      </c>
      <c r="C1" s="2" t="inlineStr">
        <is>
          <t>Assembly hrs</t>
        </is>
      </c>
      <c r="D1" s="2" t="inlineStr">
        <is>
          <t>kWh</t>
        </is>
      </c>
      <c r="E1" s="2" t="inlineStr">
        <is>
          <t>Tests</t>
        </is>
      </c>
      <c r="F1" s="2" t="inlineStr">
        <is>
          <t>Price</t>
        </is>
      </c>
      <c r="G1" s="2" t="inlineStr">
        <is>
          <t>Materials</t>
        </is>
      </c>
    </row>
    <row r="2">
      <c r="A2" t="inlineStr">
        <is>
          <t>Model Y</t>
        </is>
      </c>
      <c r="B2" t="n">
        <v>650000</v>
      </c>
      <c r="C2" t="n">
        <v>12</v>
      </c>
      <c r="D2" t="n">
        <v>75</v>
      </c>
      <c r="E2" t="n">
        <v>3</v>
      </c>
      <c r="F2" t="n">
        <v>44000</v>
      </c>
      <c r="G2" t="n">
        <v>18000</v>
      </c>
    </row>
    <row r="3">
      <c r="A3" t="inlineStr">
        <is>
          <t>Model 3</t>
        </is>
      </c>
      <c r="B3" t="n">
        <v>500000</v>
      </c>
      <c r="C3" t="n">
        <v>10</v>
      </c>
      <c r="D3" t="n">
        <v>60</v>
      </c>
      <c r="E3" t="n">
        <v>3</v>
      </c>
      <c r="F3" t="n">
        <v>39000</v>
      </c>
      <c r="G3" t="n">
        <v>15000</v>
      </c>
    </row>
    <row r="4">
      <c r="A4" t="inlineStr">
        <is>
          <t>Model S</t>
        </is>
      </c>
      <c r="B4" t="n">
        <v>20000</v>
      </c>
      <c r="C4" t="n">
        <v>18</v>
      </c>
      <c r="D4" t="n">
        <v>100</v>
      </c>
      <c r="E4" t="n">
        <v>5</v>
      </c>
      <c r="F4" t="n">
        <v>89000</v>
      </c>
      <c r="G4" t="n">
        <v>28000</v>
      </c>
    </row>
    <row r="5">
      <c r="A5" t="inlineStr">
        <is>
          <t>Model X</t>
        </is>
      </c>
      <c r="B5" t="n">
        <v>20000</v>
      </c>
      <c r="C5" t="n">
        <v>20</v>
      </c>
      <c r="D5" t="n">
        <v>100</v>
      </c>
      <c r="E5" t="n">
        <v>5</v>
      </c>
      <c r="F5" t="n">
        <v>99000</v>
      </c>
      <c r="G5" t="n">
        <v>32000</v>
      </c>
    </row>
    <row r="6">
      <c r="A6" t="inlineStr">
        <is>
          <t>Cybertruck</t>
        </is>
      </c>
      <c r="B6" t="n">
        <v>40000</v>
      </c>
      <c r="C6" t="n">
        <v>25</v>
      </c>
      <c r="D6" t="n">
        <v>123</v>
      </c>
      <c r="E6" t="n">
        <v>6</v>
      </c>
      <c r="F6" t="n">
        <v>80000</v>
      </c>
      <c r="G6" t="n">
        <v>35000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Rates &amp; driver totals</t>
        </is>
      </c>
    </row>
    <row r="2">
      <c r="A2" s="3" t="inlineStr">
        <is>
          <t>Blended overhead rate ($/car)</t>
        </is>
      </c>
      <c r="B2" s="4">
        <f>SUM(Pools!B2:B6)*1000000/SUM(Products!B2:B6)</f>
        <v/>
      </c>
    </row>
    <row r="3">
      <c r="A3" s="3" t="inlineStr">
        <is>
          <t>Assembly $/hr</t>
        </is>
      </c>
      <c r="B3" s="5">
        <f>Pools!B2*1000000/SUMPRODUCT(Products!B2:B6,Products!C2:C6)</f>
        <v/>
      </c>
    </row>
    <row r="4">
      <c r="A4" s="3" t="inlineStr">
        <is>
          <t>Battery $/kWh</t>
        </is>
      </c>
      <c r="B4" s="5">
        <f>Pools!B3*1000000/SUMPRODUCT(Products!B2:B6,Products!D2:D6)</f>
        <v/>
      </c>
    </row>
    <row r="5">
      <c r="A5" s="3" t="inlineStr">
        <is>
          <t>Quality $/test</t>
        </is>
      </c>
      <c r="B5" s="5">
        <f>Pools!B4*1000000/SUMPRODUCT(Products!B2:B6,Products!E2:E6)</f>
        <v/>
      </c>
    </row>
    <row r="6">
      <c r="A6" s="3" t="inlineStr">
        <is>
          <t>Logistics $/car</t>
        </is>
      </c>
      <c r="B6" s="5">
        <f>Pools!B5*1000000/SUM(Products!B2:B6)</f>
        <v/>
      </c>
    </row>
    <row r="7">
      <c r="A7" s="3" t="inlineStr">
        <is>
          <t>Facilities $/car</t>
        </is>
      </c>
      <c r="B7" s="5">
        <f>Pools!B6*1000000/SUM(Products!B2:B6)</f>
        <v/>
      </c>
    </row>
    <row r="10">
      <c r="A10" s="2" t="inlineStr">
        <is>
          <t>Model</t>
        </is>
      </c>
      <c r="B10" s="2" t="inlineStr">
        <is>
          <t>Trad OH</t>
        </is>
      </c>
      <c r="C10" s="2" t="inlineStr">
        <is>
          <t>ABC OH</t>
        </is>
      </c>
      <c r="D10" s="2" t="inlineStr">
        <is>
          <t>Trad margin</t>
        </is>
      </c>
      <c r="E10" s="2" t="inlineStr">
        <is>
          <t>ABC margin</t>
        </is>
      </c>
    </row>
    <row r="11">
      <c r="A11">
        <f>Products!A2</f>
        <v/>
      </c>
      <c r="B11" s="4">
        <f>$B$2</f>
        <v/>
      </c>
      <c r="C11" s="4">
        <f>Products!C2*$B$3+Products!D2*$B$4+Products!E2*$B$5+$B$6+$B$7</f>
        <v/>
      </c>
      <c r="D11" s="6">
        <f>(Products!F2-Products!G2-B11)/Products!F2</f>
        <v/>
      </c>
      <c r="E11" s="6">
        <f>(Products!F2-Products!G2-C11)/Products!F2</f>
        <v/>
      </c>
    </row>
    <row r="12">
      <c r="A12">
        <f>Products!A3</f>
        <v/>
      </c>
      <c r="B12" s="4">
        <f>$B$2</f>
        <v/>
      </c>
      <c r="C12" s="4">
        <f>Products!C3*$B$3+Products!D3*$B$4+Products!E3*$B$5+$B$6+$B$7</f>
        <v/>
      </c>
      <c r="D12" s="6">
        <f>(Products!F3-Products!G3-B12)/Products!F3</f>
        <v/>
      </c>
      <c r="E12" s="6">
        <f>(Products!F3-Products!G3-C12)/Products!F3</f>
        <v/>
      </c>
    </row>
    <row r="13">
      <c r="A13">
        <f>Products!A4</f>
        <v/>
      </c>
      <c r="B13" s="4">
        <f>$B$2</f>
        <v/>
      </c>
      <c r="C13" s="4">
        <f>Products!C4*$B$3+Products!D4*$B$4+Products!E4*$B$5+$B$6+$B$7</f>
        <v/>
      </c>
      <c r="D13" s="6">
        <f>(Products!F4-Products!G4-B13)/Products!F4</f>
        <v/>
      </c>
      <c r="E13" s="6">
        <f>(Products!F4-Products!G4-C13)/Products!F4</f>
        <v/>
      </c>
    </row>
    <row r="14">
      <c r="A14">
        <f>Products!A5</f>
        <v/>
      </c>
      <c r="B14" s="4">
        <f>$B$2</f>
        <v/>
      </c>
      <c r="C14" s="4">
        <f>Products!C5*$B$3+Products!D5*$B$4+Products!E5*$B$5+$B$6+$B$7</f>
        <v/>
      </c>
      <c r="D14" s="6">
        <f>(Products!F5-Products!G5-B14)/Products!F5</f>
        <v/>
      </c>
      <c r="E14" s="6">
        <f>(Products!F5-Products!G5-C14)/Products!F5</f>
        <v/>
      </c>
    </row>
    <row r="15">
      <c r="A15">
        <f>Products!A6</f>
        <v/>
      </c>
      <c r="B15" s="4">
        <f>$B$2</f>
        <v/>
      </c>
      <c r="C15" s="4">
        <f>Products!C6*$B$3+Products!D6*$B$4+Products!E6*$B$5+$B$6+$B$7</f>
        <v/>
      </c>
      <c r="D15" s="6">
        <f>(Products!F6-Products!G6-B15)/Products!F6</f>
        <v/>
      </c>
      <c r="E15" s="6">
        <f>(Products!F6-Products!G6-C15)/Products!F6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2026-07-01T07:15:40Z</dcterms:created>
  <dcterms:modified xsi:type="dcterms:W3CDTF">2026-07-01T07:15:40Z</dcterms:modified>
</cp:coreProperties>
</file>