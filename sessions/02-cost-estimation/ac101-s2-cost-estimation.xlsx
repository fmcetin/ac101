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1 Monthly demo" sheetId="2" state="visible" r:id="rId2"/>
    <sheet name="2 Tesl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E82127"/>
      <sz val="13"/>
    </font>
    <font>
      <b val="1"/>
      <color rgb="00FFFFFF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3" fontId="0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AC101 — Session 2: Cost Estimation &amp; CVP (Excel companion)</t>
        </is>
      </c>
    </row>
    <row r="2">
      <c r="A2" t="inlineStr"/>
    </row>
    <row r="3">
      <c r="A3" t="inlineStr">
        <is>
          <t>Same data and answers as the Python notebook — here in Excel, with live formulas.</t>
        </is>
      </c>
    </row>
    <row r="4">
      <c r="A4" t="inlineStr"/>
    </row>
    <row r="5">
      <c r="A5" t="inlineStr">
        <is>
          <t>Sheet '1 Monthly demo':  learn high-low and regression on a clean 12-month dataset.</t>
        </is>
      </c>
    </row>
    <row r="6">
      <c r="A6" t="inlineStr">
        <is>
          <t>Sheet '2 Tesla':         estimate Tesla's cost function and find break-even.</t>
        </is>
      </c>
    </row>
    <row r="7">
      <c r="A7" t="inlineStr"/>
    </row>
    <row r="8">
      <c r="A8" t="inlineStr">
        <is>
          <t>Everything in blue cells is a FORMULA. Change a number (e.g. a price) and watch the</t>
        </is>
      </c>
    </row>
    <row r="9">
      <c r="A9" t="inlineStr">
        <is>
          <t>answer update. Regression uses Excel's SLOPE(), INTERCEPT() and RSQ() functions —</t>
        </is>
      </c>
    </row>
    <row r="10">
      <c r="A10" t="inlineStr">
        <is>
          <t>the same line the notebook fits with Python.</t>
        </is>
      </c>
    </row>
    <row r="11">
      <c r="A11" t="inlineStr"/>
    </row>
    <row r="12">
      <c r="A12" t="inlineStr">
        <is>
          <t>Try: in '2 Tesla', cut 2024 revenue per car by editing the CVP input, and see how far</t>
        </is>
      </c>
    </row>
    <row r="13">
      <c r="A13" t="inlineStr">
        <is>
          <t>break-even moves. (Optional — pure curiosity, not homework; this course sets none.)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22" customWidth="1" min="5" max="5"/>
    <col width="14" customWidth="1" min="6" max="6"/>
  </cols>
  <sheetData>
    <row r="1">
      <c r="A1" s="2" t="inlineStr">
        <is>
          <t>Month</t>
        </is>
      </c>
      <c r="B1" s="2" t="inlineStr">
        <is>
          <t>Units</t>
        </is>
      </c>
      <c r="C1" s="2" t="inlineStr">
        <is>
          <t>Total cost</t>
        </is>
      </c>
      <c r="E1" s="1" t="inlineStr">
        <is>
          <t>High-low method</t>
        </is>
      </c>
    </row>
    <row r="2">
      <c r="A2" t="inlineStr">
        <is>
          <t>Jan</t>
        </is>
      </c>
      <c r="B2" t="n">
        <v>50</v>
      </c>
      <c r="C2" s="3" t="n">
        <v>48000</v>
      </c>
      <c r="E2" s="4" t="inlineStr">
        <is>
          <t>Units (high)</t>
        </is>
      </c>
      <c r="F2" s="3">
        <f>MAX(B2:B13)</f>
        <v/>
      </c>
    </row>
    <row r="3">
      <c r="A3" t="inlineStr">
        <is>
          <t>Feb</t>
        </is>
      </c>
      <c r="B3" t="n">
        <v>30</v>
      </c>
      <c r="C3" s="3" t="n">
        <v>40000</v>
      </c>
      <c r="E3" s="4" t="inlineStr">
        <is>
          <t>Cost (high)</t>
        </is>
      </c>
      <c r="F3" s="3">
        <f>INDEX(C2:C13,MATCH(MAX(B2:B13),B2:B13,0))</f>
        <v/>
      </c>
    </row>
    <row r="4">
      <c r="A4" t="inlineStr">
        <is>
          <t>Mar</t>
        </is>
      </c>
      <c r="B4" t="n">
        <v>40</v>
      </c>
      <c r="C4" s="3" t="n">
        <v>62000</v>
      </c>
      <c r="E4" s="4" t="inlineStr">
        <is>
          <t>Units (low)</t>
        </is>
      </c>
      <c r="F4" s="3">
        <f>MIN(B2:B13)</f>
        <v/>
      </c>
    </row>
    <row r="5">
      <c r="A5" t="inlineStr">
        <is>
          <t>Apr</t>
        </is>
      </c>
      <c r="B5" t="n">
        <v>60</v>
      </c>
      <c r="C5" s="3" t="n">
        <v>75000</v>
      </c>
      <c r="E5" s="4" t="inlineStr">
        <is>
          <t>Cost (low)</t>
        </is>
      </c>
      <c r="F5" s="3">
        <f>INDEX(C2:C13,MATCH(MIN(B2:B13),B2:B13,0))</f>
        <v/>
      </c>
    </row>
    <row r="6">
      <c r="A6" t="inlineStr">
        <is>
          <t>May</t>
        </is>
      </c>
      <c r="B6" t="n">
        <v>100</v>
      </c>
      <c r="C6" s="3" t="n">
        <v>89000</v>
      </c>
      <c r="E6" s="4" t="inlineStr">
        <is>
          <t>Variable / unit</t>
        </is>
      </c>
      <c r="F6" s="5">
        <f>(F3-F5)/(F2-F4)</f>
        <v/>
      </c>
    </row>
    <row r="7">
      <c r="A7" t="inlineStr">
        <is>
          <t>Jun</t>
        </is>
      </c>
      <c r="B7" t="n">
        <v>90</v>
      </c>
      <c r="C7" s="3" t="n">
        <v>98000</v>
      </c>
      <c r="E7" s="4" t="inlineStr">
        <is>
          <t>Fixed cost</t>
        </is>
      </c>
      <c r="F7" s="3">
        <f>F3-F6*F2</f>
        <v/>
      </c>
    </row>
    <row r="8">
      <c r="A8" t="inlineStr">
        <is>
          <t>Jul</t>
        </is>
      </c>
      <c r="B8" t="n">
        <v>80</v>
      </c>
      <c r="C8" s="3" t="n">
        <v>73000</v>
      </c>
    </row>
    <row r="9">
      <c r="A9" t="inlineStr">
        <is>
          <t>Aug</t>
        </is>
      </c>
      <c r="B9" t="n">
        <v>110</v>
      </c>
      <c r="C9" s="3" t="n">
        <v>105000</v>
      </c>
      <c r="E9" s="1" t="inlineStr">
        <is>
          <t>Regression (OLS)</t>
        </is>
      </c>
    </row>
    <row r="10">
      <c r="A10" t="inlineStr">
        <is>
          <t>Sep</t>
        </is>
      </c>
      <c r="B10" t="n">
        <v>40</v>
      </c>
      <c r="C10" s="3" t="n">
        <v>62000</v>
      </c>
      <c r="E10" s="4" t="inlineStr">
        <is>
          <t>Variable / unit (slope)</t>
        </is>
      </c>
      <c r="F10" s="5">
        <f>SLOPE(C2:C13,B2:B13)</f>
        <v/>
      </c>
    </row>
    <row r="11">
      <c r="A11" t="inlineStr">
        <is>
          <t>Oct</t>
        </is>
      </c>
      <c r="B11" t="n">
        <v>90</v>
      </c>
      <c r="C11" s="3" t="n">
        <v>95000</v>
      </c>
      <c r="E11" s="4" t="inlineStr">
        <is>
          <t>Fixed cost (intercept)</t>
        </is>
      </c>
      <c r="F11" s="3">
        <f>INTERCEPT(C2:C13,B2:B13)</f>
        <v/>
      </c>
    </row>
    <row r="12">
      <c r="A12" t="inlineStr">
        <is>
          <t>Nov</t>
        </is>
      </c>
      <c r="B12" t="n">
        <v>70</v>
      </c>
      <c r="C12" s="3" t="n">
        <v>80000</v>
      </c>
      <c r="E12" s="4" t="inlineStr">
        <is>
          <t>R-squared</t>
        </is>
      </c>
      <c r="F12" s="6">
        <f>RSQ(C2:C13,B2:B13)</f>
        <v/>
      </c>
    </row>
    <row r="13">
      <c r="A13" t="inlineStr">
        <is>
          <t>Dec</t>
        </is>
      </c>
      <c r="B13" t="n">
        <v>50</v>
      </c>
      <c r="C13" s="3" t="n">
        <v>50000</v>
      </c>
    </row>
    <row r="14">
      <c r="E14" s="7" t="inlineStr">
        <is>
          <t>High-low uses 2 points; OLS uses all 12 — compare the two 'Variable / unit'.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12" customWidth="1" min="3" max="3"/>
    <col width="11" customWidth="1" min="4" max="4"/>
    <col width="13" customWidth="1" min="5" max="5"/>
    <col width="30" customWidth="1" min="7" max="7"/>
    <col width="14" customWidth="1" min="8" max="8"/>
  </cols>
  <sheetData>
    <row r="1">
      <c r="A1" s="2" t="inlineStr">
        <is>
          <t>Quarter</t>
        </is>
      </c>
      <c r="B1" s="2" t="inlineStr">
        <is>
          <t>Year</t>
        </is>
      </c>
      <c r="C1" s="2" t="inlineStr">
        <is>
          <t>Deliveries</t>
        </is>
      </c>
      <c r="D1" s="2" t="inlineStr">
        <is>
          <t>COGS ($m)</t>
        </is>
      </c>
      <c r="E1" s="2" t="inlineStr">
        <is>
          <t>Revenue ($m)</t>
        </is>
      </c>
      <c r="G1" s="1" t="inlineStr">
        <is>
          <t>Cost function (regression: COGS on deliveries)</t>
        </is>
      </c>
    </row>
    <row r="2">
      <c r="A2" t="inlineStr">
        <is>
          <t>Q1</t>
        </is>
      </c>
      <c r="B2" t="n">
        <v>2023</v>
      </c>
      <c r="C2" s="3" t="n">
        <v>422875</v>
      </c>
      <c r="D2" s="3" t="n">
        <v>17772</v>
      </c>
      <c r="E2" s="3" t="n">
        <v>23329</v>
      </c>
      <c r="G2" s="4" t="inlineStr">
        <is>
          <t>Variable cost / car ($)</t>
        </is>
      </c>
      <c r="H2" s="3">
        <f>SLOPE(D2:D9,C2:C9)*1000000</f>
        <v/>
      </c>
    </row>
    <row r="3">
      <c r="A3" t="inlineStr">
        <is>
          <t>Q2</t>
        </is>
      </c>
      <c r="B3" t="n">
        <v>2023</v>
      </c>
      <c r="C3" s="3" t="n">
        <v>466140</v>
      </c>
      <c r="D3" s="3" t="n">
        <v>19240</v>
      </c>
      <c r="E3" s="3" t="n">
        <v>24927</v>
      </c>
      <c r="G3" s="4" t="inlineStr">
        <is>
          <t>Fixed cost ($m / quarter)</t>
        </is>
      </c>
      <c r="H3" s="3">
        <f>INTERCEPT(D2:D9,C2:C9)</f>
        <v/>
      </c>
    </row>
    <row r="4">
      <c r="A4" t="inlineStr">
        <is>
          <t>Q3</t>
        </is>
      </c>
      <c r="B4" t="n">
        <v>2023</v>
      </c>
      <c r="C4" s="3" t="n">
        <v>435059</v>
      </c>
      <c r="D4" s="3" t="n">
        <v>17937</v>
      </c>
      <c r="E4" s="3" t="n">
        <v>23350</v>
      </c>
      <c r="G4" s="4" t="inlineStr">
        <is>
          <t>R-squared</t>
        </is>
      </c>
      <c r="H4" s="6">
        <f>RSQ(D2:D9,C2:C9)</f>
        <v/>
      </c>
    </row>
    <row r="5">
      <c r="A5" t="inlineStr">
        <is>
          <t>Q4</t>
        </is>
      </c>
      <c r="B5" t="n">
        <v>2023</v>
      </c>
      <c r="C5" s="3" t="n">
        <v>484507</v>
      </c>
      <c r="D5" s="3" t="n">
        <v>19497</v>
      </c>
      <c r="E5" s="3" t="n">
        <v>25167</v>
      </c>
    </row>
    <row r="6">
      <c r="A6" t="inlineStr">
        <is>
          <t>Q1</t>
        </is>
      </c>
      <c r="B6" t="n">
        <v>2024</v>
      </c>
      <c r="C6" s="3" t="n">
        <v>386810</v>
      </c>
      <c r="D6" s="3" t="n">
        <v>16359</v>
      </c>
      <c r="E6" s="3" t="n">
        <v>21301</v>
      </c>
      <c r="G6" s="1" t="inlineStr">
        <is>
          <t>CVP (2024)</t>
        </is>
      </c>
    </row>
    <row r="7">
      <c r="A7" t="inlineStr">
        <is>
          <t>Q2</t>
        </is>
      </c>
      <c r="B7" t="n">
        <v>2024</v>
      </c>
      <c r="C7" s="3" t="n">
        <v>443956</v>
      </c>
      <c r="D7" s="3" t="n">
        <v>19644</v>
      </c>
      <c r="E7" s="3" t="n">
        <v>25500</v>
      </c>
      <c r="G7" s="4" t="inlineStr">
        <is>
          <t>Revenue per car delivered ($) — proxy</t>
        </is>
      </c>
      <c r="H7" s="3">
        <f>SUMIFS(E2:E9,B2:B9,2024)*1000000/SUMIFS(C2:C9,B2:B9,2024)</f>
        <v/>
      </c>
    </row>
    <row r="8">
      <c r="A8" t="inlineStr">
        <is>
          <t>Q3</t>
        </is>
      </c>
      <c r="B8" t="n">
        <v>2024</v>
      </c>
      <c r="C8" s="3" t="n">
        <v>462890</v>
      </c>
      <c r="D8" s="3" t="n">
        <v>18837</v>
      </c>
      <c r="E8" s="3" t="n">
        <v>25182</v>
      </c>
      <c r="G8" s="4" t="inlineStr">
        <is>
          <t>Variable cost / car ($)</t>
        </is>
      </c>
      <c r="H8" s="3">
        <f>H2</f>
        <v/>
      </c>
    </row>
    <row r="9">
      <c r="A9" t="inlineStr">
        <is>
          <t>Q4</t>
        </is>
      </c>
      <c r="B9" t="n">
        <v>2024</v>
      </c>
      <c r="C9" s="3" t="n">
        <v>495570</v>
      </c>
      <c r="D9" s="3" t="n">
        <v>20032</v>
      </c>
      <c r="E9" s="3" t="n">
        <v>25707</v>
      </c>
      <c r="G9" s="4" t="inlineStr">
        <is>
          <t>Contribution margin / car ($)</t>
        </is>
      </c>
      <c r="H9" s="3">
        <f>H7-H8</f>
        <v/>
      </c>
    </row>
    <row r="10">
      <c r="G10" s="4" t="inlineStr">
        <is>
          <t>Fixed cost ($m / quarter)</t>
        </is>
      </c>
      <c r="H10" s="3">
        <f>H3</f>
        <v/>
      </c>
    </row>
    <row r="11">
      <c r="G11" s="4" t="inlineStr">
        <is>
          <t>Break-even (cars / quarter)</t>
        </is>
      </c>
      <c r="H11" s="3">
        <f>H10*1000000/H9</f>
        <v/>
      </c>
    </row>
    <row r="12">
      <c r="G12" s="4" t="inlineStr">
        <is>
          <t>Actual avg deliveries / quarter</t>
        </is>
      </c>
      <c r="H12" s="3">
        <f>SUMIFS(C2:C9,B2:B9,2024)/4</f>
        <v/>
      </c>
    </row>
    <row r="13">
      <c r="G13" s="4" t="inlineStr">
        <is>
          <t>Margin of safety</t>
        </is>
      </c>
      <c r="H13" s="8">
        <f>(H12-H11)/H12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2026-07-02T08:21:46Z</dcterms:created>
  <dcterms:modified xsi:type="dcterms:W3CDTF">2026-07-02T08:21:46Z</dcterms:modified>
</cp:coreProperties>
</file>