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Vari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82127"/>
      <sz val="12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AC101 — Session 5: Variance analysis (Excel companion)</t>
        </is>
      </c>
    </row>
    <row r="2">
      <c r="A2" t="inlineStr"/>
    </row>
    <row r="3">
      <c r="A3" t="inlineStr">
        <is>
          <t>Blue cells are formulas. Change a budget or actual and watch every variance move.</t>
        </is>
      </c>
    </row>
    <row r="4">
      <c r="A4" t="inlineStr">
        <is>
          <t>One volume (cars) drives revenue and cost — the standard intro simplification.</t>
        </is>
      </c>
    </row>
    <row r="5">
      <c r="A5" t="inlineStr">
        <is>
          <t>Static -&gt; Flexible isolates the VOLUME effect; Flexible -&gt; Actual is price &amp; efficiency.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</cols>
  <sheetData>
    <row r="1">
      <c r="A1" s="2" t="inlineStr">
        <is>
          <t>Item</t>
        </is>
      </c>
      <c r="B1" s="2" t="inlineStr">
        <is>
          <t>Budget</t>
        </is>
      </c>
      <c r="C1" s="2" t="inlineStr">
        <is>
          <t>Actual</t>
        </is>
      </c>
    </row>
    <row r="2">
      <c r="A2" s="3" t="inlineStr">
        <is>
          <t>Volume (cars)</t>
        </is>
      </c>
      <c r="B2" s="4" t="n">
        <v>500000</v>
      </c>
      <c r="C2" s="4" t="n">
        <v>495570</v>
      </c>
    </row>
    <row r="3">
      <c r="A3" s="3" t="inlineStr">
        <is>
          <t>Revenue / car delivered ($)</t>
        </is>
      </c>
      <c r="B3" s="4" t="n">
        <v>52000</v>
      </c>
      <c r="C3" s="4" t="n">
        <v>51900</v>
      </c>
    </row>
    <row r="4">
      <c r="A4" s="3" t="inlineStr">
        <is>
          <t>Materials / car ($)</t>
        </is>
      </c>
      <c r="B4" s="4" t="n">
        <v>18000</v>
      </c>
      <c r="C4" s="4" t="n">
        <v>18500</v>
      </c>
    </row>
    <row r="5">
      <c r="A5" s="3" t="inlineStr">
        <is>
          <t>Labour / car ($)</t>
        </is>
      </c>
      <c r="B5" s="4" t="n">
        <v>4500</v>
      </c>
      <c r="C5" s="4" t="n">
        <v>4200</v>
      </c>
    </row>
    <row r="6">
      <c r="A6" s="3" t="inlineStr">
        <is>
          <t>Variable OH / car ($)</t>
        </is>
      </c>
      <c r="B6" s="4" t="n">
        <v>6000</v>
      </c>
      <c r="C6" s="4" t="n">
        <v>6100</v>
      </c>
    </row>
    <row r="7">
      <c r="A7" s="3" t="inlineStr">
        <is>
          <t>Fixed cost ($m)</t>
        </is>
      </c>
      <c r="B7" s="4" t="n">
        <v>9750</v>
      </c>
      <c r="C7" s="4" t="n">
        <v>9800</v>
      </c>
    </row>
    <row r="9">
      <c r="A9" s="3" t="inlineStr">
        <is>
          <t>Variable cost / car</t>
        </is>
      </c>
      <c r="B9" s="4">
        <f>B4+B5+B6</f>
        <v/>
      </c>
      <c r="C9" s="4">
        <f>C4+C5+C6</f>
        <v/>
      </c>
    </row>
    <row r="10">
      <c r="A10" s="1" t="inlineStr">
        <is>
          <t>Operating profit ($m)  = (price-var)*vol - fixed</t>
        </is>
      </c>
    </row>
    <row r="11">
      <c r="A11" s="3" t="inlineStr">
        <is>
          <t>Static budget (plan)</t>
        </is>
      </c>
      <c r="B11" s="4">
        <f>(B3-B9)*B2/1000000-B7</f>
        <v/>
      </c>
    </row>
    <row r="12">
      <c r="A12" s="3" t="inlineStr">
        <is>
          <t>Flexible budget (actual vol)</t>
        </is>
      </c>
      <c r="B12" s="4">
        <f>(B3-B9)*C2/1000000-B7</f>
        <v/>
      </c>
    </row>
    <row r="13">
      <c r="A13" s="3" t="inlineStr">
        <is>
          <t>Actual</t>
        </is>
      </c>
      <c r="B13" s="4">
        <f>(C3-C9)*C2/1000000-C7</f>
        <v/>
      </c>
    </row>
    <row r="15">
      <c r="A15" s="3" t="inlineStr">
        <is>
          <t>Sales-VOLUME variance (static-&gt;flex)</t>
        </is>
      </c>
      <c r="B15" s="4">
        <f>B12-B11</f>
        <v/>
      </c>
    </row>
    <row r="16">
      <c r="A16" s="3" t="inlineStr">
        <is>
          <t>Flexible-budget variance (flex-&gt;actual)</t>
        </is>
      </c>
      <c r="B16" s="4">
        <f>B13-B12</f>
        <v/>
      </c>
    </row>
    <row r="17">
      <c r="A17" s="3" t="inlineStr">
        <is>
          <t>TOTAL profit variance</t>
        </is>
      </c>
      <c r="B17" s="4">
        <f>B13-B11</f>
        <v/>
      </c>
    </row>
    <row r="19">
      <c r="A19" s="1" t="inlineStr">
        <is>
          <t>Flexible-budget variance, by line ($m, profit impact)</t>
        </is>
      </c>
    </row>
    <row r="20">
      <c r="A20" s="3" t="inlineStr">
        <is>
          <t>Revenue per car</t>
        </is>
      </c>
      <c r="B20" s="4">
        <f>(C3-B3)*C2/1000000</f>
        <v/>
      </c>
    </row>
    <row r="21">
      <c r="A21" s="3" t="inlineStr">
        <is>
          <t>Materials</t>
        </is>
      </c>
      <c r="B21" s="4">
        <f>-(C4-B4)*C2/1000000</f>
        <v/>
      </c>
    </row>
    <row r="22">
      <c r="A22" s="3" t="inlineStr">
        <is>
          <t>Labour</t>
        </is>
      </c>
      <c r="B22" s="4">
        <f>-(C5-B5)*C2/1000000</f>
        <v/>
      </c>
    </row>
    <row r="23">
      <c r="A23" s="3" t="inlineStr">
        <is>
          <t>Variable OH</t>
        </is>
      </c>
      <c r="B23" s="4">
        <f>-(C6-B6)*C2/1000000</f>
        <v/>
      </c>
    </row>
    <row r="24">
      <c r="A24" s="3" t="inlineStr">
        <is>
          <t>Fixed</t>
        </is>
      </c>
      <c r="B24" s="4">
        <f>-(C7-B7)</f>
        <v/>
      </c>
    </row>
    <row r="25">
      <c r="A25" s="3" t="inlineStr">
        <is>
          <t>sum (= flexible-budget variance)</t>
        </is>
      </c>
      <c r="B25" s="4">
        <f>SUM(B20:B24)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2026-07-14T23:49:51Z</dcterms:created>
  <dcterms:modified xsi:type="dcterms:W3CDTF">2026-07-14T23:49:51Z</dcterms:modified>
</cp:coreProperties>
</file>