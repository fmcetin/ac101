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ke or buy" sheetId="2" state="visible" r:id="rId2"/>
    <sheet name="Special order" sheetId="3" state="visible" r:id="rId3"/>
    <sheet name="Product mix" sheetId="4" state="visible" r:id="rId4"/>
    <sheet name="Product mix — Sol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82127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/>
    </xf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AC101 — Session 4: Relevant-cost decisions (Excel companion)</t>
        </is>
      </c>
    </row>
    <row r="2">
      <c r="A2" t="inlineStr"/>
    </row>
    <row r="3">
      <c r="A3" t="inlineStr">
        <is>
          <t>Blue cells are formulas. Change an input and watch the decision move.</t>
        </is>
      </c>
    </row>
    <row r="4">
      <c r="A4" t="inlineStr">
        <is>
          <t>'Make or buy' : marginal batch, expansion break-even, and the strategic twist.</t>
        </is>
      </c>
    </row>
    <row r="5">
      <c r="A5" t="inlineStr">
        <is>
          <t>'Special order': full-cost trap vs relevant-cost view; the capacity hinge.</t>
        </is>
      </c>
    </row>
    <row r="6">
      <c r="A6" t="inlineStr">
        <is>
          <t>'Product mix' : rank by contribution per BOTTLENECK unit, not per product.</t>
        </is>
      </c>
    </row>
    <row r="7">
      <c r="A7" t="inlineStr">
        <is>
          <t>'Product mix — Solver': two-constraint LP (machine + labour), set up for Excel Solver.</t>
        </is>
      </c>
    </row>
    <row r="8">
      <c r="A8" t="inlineStr"/>
    </row>
    <row r="9">
      <c r="A9" t="inlineStr">
        <is>
          <t>Scope note: battery figures are CELL-level (simulated). Industry PACK-level</t>
        </is>
      </c>
    </row>
    <row r="10">
      <c r="A10" t="inlineStr">
        <is>
          <t>prices (~$115-140/kWh, BloombergNEF 2024) add pack assembly, housing and</t>
        </is>
      </c>
    </row>
    <row r="11">
      <c r="A11" t="inlineStr">
        <is>
          <t>battery management on top of the cell — different scope, don't compare.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</cols>
  <sheetData>
    <row r="1">
      <c r="A1" s="1" t="inlineStr">
        <is>
          <t>Inputs</t>
        </is>
      </c>
    </row>
    <row r="2">
      <c r="A2" s="2" t="inlineStr">
        <is>
          <t>In-house variable ($/kWh)</t>
        </is>
      </c>
      <c r="B2" s="3" t="n">
        <v>70</v>
      </c>
    </row>
    <row r="3">
      <c r="A3" s="2" t="inlineStr">
        <is>
          <t>Panasonic landed cost ($/kWh: 85 price + 5 logistics)</t>
        </is>
      </c>
      <c r="B3" s="3" t="n">
        <v>90</v>
      </c>
    </row>
    <row r="4">
      <c r="A4" s="2" t="inlineStr">
        <is>
          <t>In-house fixed ($m/yr)</t>
        </is>
      </c>
      <c r="B4" s="3" t="n">
        <v>800</v>
      </c>
    </row>
    <row r="5">
      <c r="A5" s="2" t="inlineStr">
        <is>
          <t>Annual demand (kWh)</t>
        </is>
      </c>
      <c r="B5" s="3" t="n">
        <v>87670000</v>
      </c>
    </row>
    <row r="6">
      <c r="A6" s="2" t="inlineStr">
        <is>
          <t>New line fixed ($m/yr)</t>
        </is>
      </c>
      <c r="B6" s="3" t="n">
        <v>400</v>
      </c>
    </row>
    <row r="7">
      <c r="A7" s="2" t="inlineStr">
        <is>
          <t>Megapack opportunity ($m/yr)</t>
        </is>
      </c>
      <c r="B7" s="3" t="n">
        <v>1100</v>
      </c>
    </row>
    <row r="9">
      <c r="A9" s="1" t="inlineStr">
        <is>
          <t>Marginal batch (existing line — fixed unchanged either way, irrelevant)</t>
        </is>
      </c>
    </row>
    <row r="10">
      <c r="A10" s="2" t="inlineStr">
        <is>
          <t>Saving per kWh (buy - make)</t>
        </is>
      </c>
      <c r="B10" s="3">
        <f>B3-B2</f>
        <v/>
      </c>
    </row>
    <row r="11">
      <c r="A11" s="2" t="inlineStr">
        <is>
          <t>Expansion break-even (kWh)</t>
        </is>
      </c>
      <c r="B11" s="3">
        <f>B6*1000000/B10</f>
        <v/>
      </c>
    </row>
    <row r="13">
      <c r="A13" s="1" t="inlineStr">
        <is>
          <t>Strategic: run the factory, or exit &amp; outsource?</t>
        </is>
      </c>
    </row>
    <row r="14">
      <c r="A14" s="2" t="inlineStr">
        <is>
          <t>MAKE  = variable + avoidable fixed + opportunity</t>
        </is>
      </c>
      <c r="B14" s="3">
        <f>B2*B5/1000000 + B4 + B7</f>
        <v/>
      </c>
    </row>
    <row r="15">
      <c r="A15" s="2" t="inlineStr">
        <is>
          <t>BUY   = pure variable</t>
        </is>
      </c>
      <c r="B15" s="3">
        <f>B3*B5/1000000</f>
        <v/>
      </c>
    </row>
    <row r="16">
      <c r="A16" s="2" t="inlineStr">
        <is>
          <t>Cheaper option</t>
        </is>
      </c>
      <c r="B16">
        <f>IF(B14&lt;B15,"MAKE","BUY")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Inputs (illustrative)</t>
        </is>
      </c>
    </row>
    <row r="2">
      <c r="A2" s="2" t="inlineStr">
        <is>
          <t>List price ($)</t>
        </is>
      </c>
      <c r="B2" s="3" t="n">
        <v>39000</v>
      </c>
    </row>
    <row r="3">
      <c r="A3" s="2" t="inlineStr">
        <is>
          <t>Variable cost ($)</t>
        </is>
      </c>
      <c r="B3" s="3" t="n">
        <v>25000</v>
      </c>
    </row>
    <row r="4">
      <c r="A4" s="2" t="inlineStr">
        <is>
          <t>Allocated fixed ($)</t>
        </is>
      </c>
      <c r="B4" s="3" t="n">
        <v>8000</v>
      </c>
    </row>
    <row r="5">
      <c r="A5" s="2" t="inlineStr">
        <is>
          <t>Offer price ($)</t>
        </is>
      </c>
      <c r="B5" s="3" t="n">
        <v>30000</v>
      </c>
    </row>
    <row r="6">
      <c r="A6" s="2" t="inlineStr">
        <is>
          <t>Order volume (cars)</t>
        </is>
      </c>
      <c r="B6" s="3" t="n">
        <v>50000</v>
      </c>
    </row>
    <row r="8">
      <c r="A8" s="1" t="inlineStr">
        <is>
          <t>Full-cost view (the trap)</t>
        </is>
      </c>
    </row>
    <row r="9">
      <c r="A9" s="2" t="inlineStr">
        <is>
          <t>Full cost = variable + allocated fixed</t>
        </is>
      </c>
      <c r="B9" s="3">
        <f>B3+B4</f>
        <v/>
      </c>
    </row>
    <row r="10">
      <c r="A10" s="2" t="inlineStr">
        <is>
          <t>Offer - full cost (per car)</t>
        </is>
      </c>
      <c r="B10" s="3">
        <f>B5-B9</f>
        <v/>
      </c>
    </row>
    <row r="12">
      <c r="A12" s="1" t="inlineStr">
        <is>
          <t>Relevant-cost view (spare capacity)</t>
        </is>
      </c>
    </row>
    <row r="13">
      <c r="A13" s="2" t="inlineStr">
        <is>
          <t>Contribution = offer - variable</t>
        </is>
      </c>
      <c r="B13" s="3">
        <f>B5-B3</f>
        <v/>
      </c>
    </row>
    <row r="14">
      <c r="A14" s="2" t="inlineStr">
        <is>
          <t>Total contribution ($m)</t>
        </is>
      </c>
      <c r="B14" s="3">
        <f>B13*B6/1000000</f>
        <v/>
      </c>
    </row>
    <row r="15">
      <c r="A15" s="2" t="inlineStr">
        <is>
          <t>Decision (spare capacity)</t>
        </is>
      </c>
      <c r="B15">
        <f>IF(B5&gt;B3,"ACCEPT","reject")</f>
        <v/>
      </c>
    </row>
    <row r="17">
      <c r="A17" s="1" t="inlineStr">
        <is>
          <t>At FULL capacity</t>
        </is>
      </c>
    </row>
    <row r="18">
      <c r="A18" s="2" t="inlineStr">
        <is>
          <t>Displaced contribution = list - variable</t>
        </is>
      </c>
      <c r="B18" s="3">
        <f>B2-B3</f>
        <v/>
      </c>
    </row>
    <row r="19">
      <c r="A19" s="2" t="inlineStr">
        <is>
          <t>Decision at full capacity</t>
        </is>
      </c>
      <c r="B19">
        <f>IF(B13&gt;B18,"accept","REJECT")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20" customWidth="1" min="4" max="4"/>
  </cols>
  <sheetData>
    <row r="1">
      <c r="A1" s="4" t="inlineStr">
        <is>
          <t>Model</t>
        </is>
      </c>
      <c r="B1" s="4" t="inlineStr">
        <is>
          <t>CM per car</t>
        </is>
      </c>
      <c r="C1" s="4" t="inlineStr">
        <is>
          <t>Bottleneck hrs/car</t>
        </is>
      </c>
      <c r="D1" s="4" t="inlineStr">
        <is>
          <t>CM per bottleneck hr</t>
        </is>
      </c>
    </row>
    <row r="2">
      <c r="A2" t="inlineStr">
        <is>
          <t>Model 3</t>
        </is>
      </c>
      <c r="B2" s="3" t="n">
        <v>14000</v>
      </c>
      <c r="C2" t="n">
        <v>2</v>
      </c>
      <c r="D2" s="3">
        <f>B2/C2</f>
        <v/>
      </c>
    </row>
    <row r="3">
      <c r="A3" t="inlineStr">
        <is>
          <t>Model Y</t>
        </is>
      </c>
      <c r="B3" s="3" t="n">
        <v>18000</v>
      </c>
      <c r="C3" t="n">
        <v>3</v>
      </c>
      <c r="D3" s="3">
        <f>B3/C3</f>
        <v/>
      </c>
    </row>
    <row r="5">
      <c r="A5" s="2" t="inlineStr">
        <is>
          <t>Prioritise the higher CM-per-bottleneck-hour</t>
        </is>
      </c>
    </row>
    <row r="6">
      <c r="A6" s="2" t="inlineStr">
        <is>
          <t>Winner</t>
        </is>
      </c>
      <c r="B6">
        <f>INDEX(A2:A3,MATCH(MAX(D2:D3),D2:D3,0))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Product mix — Solver: two-constraint LP (illustrative, Mountain Goat Cycles bike saddles)</t>
        </is>
      </c>
    </row>
    <row r="3">
      <c r="A3" s="4" t="n"/>
      <c r="B3" s="4" t="inlineStr">
        <is>
          <t>Mountain</t>
        </is>
      </c>
      <c r="C3" s="4" t="inlineStr">
        <is>
          <t>Touring</t>
        </is>
      </c>
    </row>
    <row r="4">
      <c r="A4" s="2" t="inlineStr">
        <is>
          <t>Contribution per unit (£)</t>
        </is>
      </c>
      <c r="B4" s="3" t="n">
        <v>15</v>
      </c>
      <c r="C4" s="3" t="n">
        <v>12</v>
      </c>
    </row>
    <row r="5">
      <c r="A5" s="2" t="inlineStr">
        <is>
          <t>Stitching-machine time per unit (min)</t>
        </is>
      </c>
      <c r="B5" s="3" t="n">
        <v>2</v>
      </c>
      <c r="C5" s="3" t="n">
        <v>1</v>
      </c>
    </row>
    <row r="6">
      <c r="A6" s="2" t="inlineStr">
        <is>
          <t>Assembly labour time per unit (min)</t>
        </is>
      </c>
      <c r="B6" s="3" t="n">
        <v>3</v>
      </c>
      <c r="C6" s="3" t="n">
        <v>3</v>
      </c>
    </row>
    <row r="7">
      <c r="A7" s="2" t="inlineStr">
        <is>
          <t>Maximum demand (units)</t>
        </is>
      </c>
      <c r="B7" s="3" t="n">
        <v>4000</v>
      </c>
      <c r="C7" s="3" t="n">
        <v>7000</v>
      </c>
    </row>
    <row r="9">
      <c r="A9" s="1" t="inlineStr">
        <is>
          <t>Decision cells — CHANGE THESE (Solver sets them)</t>
        </is>
      </c>
    </row>
    <row r="10">
      <c r="A10" s="2" t="inlineStr">
        <is>
          <t>Quantity to produce (units)</t>
        </is>
      </c>
      <c r="B10" s="5" t="n">
        <v>0</v>
      </c>
      <c r="C10" s="5" t="n">
        <v>0</v>
      </c>
    </row>
    <row r="12">
      <c r="A12" s="1" t="inlineStr">
        <is>
          <t>Objective — maximise total contribution</t>
        </is>
      </c>
    </row>
    <row r="13">
      <c r="A13" s="2" t="inlineStr">
        <is>
          <t>Total contribution (£)</t>
        </is>
      </c>
      <c r="B13" s="3">
        <f>SUMPRODUCT(B4:C4,B10:C10)</f>
        <v/>
      </c>
    </row>
    <row r="15">
      <c r="A15" s="1" t="inlineStr">
        <is>
          <t>Constraints</t>
        </is>
      </c>
    </row>
    <row r="16">
      <c r="B16" s="4" t="inlineStr">
        <is>
          <t>Used</t>
        </is>
      </c>
      <c r="D16" s="4" t="inlineStr">
        <is>
          <t>Limit</t>
        </is>
      </c>
    </row>
    <row r="17">
      <c r="A17" s="2" t="inlineStr">
        <is>
          <t>Stitching-machine minutes used</t>
        </is>
      </c>
      <c r="B17" s="3">
        <f>SUMPRODUCT(B5:C5,B10:C10)</f>
        <v/>
      </c>
      <c r="C17" t="inlineStr">
        <is>
          <t>&lt;=</t>
        </is>
      </c>
      <c r="D17" s="3" t="n">
        <v>13200</v>
      </c>
    </row>
    <row r="18">
      <c r="A18" s="2" t="inlineStr">
        <is>
          <t>Assembly labour minutes used</t>
        </is>
      </c>
      <c r="B18" s="3">
        <f>SUMPRODUCT(B6:C6,B10:C10)</f>
        <v/>
      </c>
      <c r="C18" t="inlineStr">
        <is>
          <t>&lt;=</t>
        </is>
      </c>
      <c r="D18" s="3" t="n">
        <v>30000</v>
      </c>
    </row>
    <row r="19">
      <c r="A19" s="2" t="inlineStr">
        <is>
          <t>Mountain — demand cap</t>
        </is>
      </c>
      <c r="B19" s="3">
        <f>B10</f>
        <v/>
      </c>
      <c r="C19" t="inlineStr">
        <is>
          <t>&lt;=</t>
        </is>
      </c>
      <c r="D19" s="3">
        <f>B7</f>
        <v/>
      </c>
    </row>
    <row r="20">
      <c r="A20" s="2" t="inlineStr">
        <is>
          <t>Touring — demand cap</t>
        </is>
      </c>
      <c r="B20" s="3">
        <f>C10</f>
        <v/>
      </c>
      <c r="C20" t="inlineStr">
        <is>
          <t>&lt;=</t>
        </is>
      </c>
      <c r="D20" s="3">
        <f>C7</f>
        <v/>
      </c>
    </row>
    <row r="22">
      <c r="A22" s="1" t="inlineStr">
        <is>
          <t>How to run Solver</t>
        </is>
      </c>
    </row>
    <row r="23">
      <c r="A23" t="inlineStr">
        <is>
          <t>1. Data -&gt; Solver (enable first: File -&gt; Options -&gt; Add-ins -&gt; Solver Add-in, if it isn't already on the Data tab).</t>
        </is>
      </c>
    </row>
    <row r="24">
      <c r="A24" t="inlineStr">
        <is>
          <t>2. Set Objective: B13   To: Max</t>
        </is>
      </c>
    </row>
    <row r="25">
      <c r="A25" t="inlineStr">
        <is>
          <t>3. By Changing Variable Cells: B10:C10</t>
        </is>
      </c>
    </row>
    <row r="26">
      <c r="A26" t="inlineStr">
        <is>
          <t>4. Add Constraints: B17&lt;=D17 (machine); B18&lt;=D18 (labour); B19&lt;=D19 (Mountain demand); B20&lt;=D20 (Touring demand); B10:C10&gt;=0</t>
        </is>
      </c>
    </row>
    <row r="27">
      <c r="A27" t="inlineStr">
        <is>
          <t>5. Solving Method: Simplex LP. Click Solve, then Keep Solver Solution.</t>
        </is>
      </c>
    </row>
    <row r="29">
      <c r="A29" s="2" t="inlineStr">
        <is>
          <t>Check</t>
        </is>
      </c>
    </row>
    <row r="30">
      <c r="A30" t="inlineStr">
        <is>
          <t>Optimal answer for checking: 3,200 Mountain + 6,800 Touring -&gt; £129,600 (both constraints exactly used).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2026-07-14T23:49:51Z</dcterms:created>
  <dcterms:modified xsi:type="dcterms:W3CDTF">2026-07-14T23:49:51Z</dcterms:modified>
</cp:coreProperties>
</file>